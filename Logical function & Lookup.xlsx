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F71E8D13-112B-4E7A-9DFE-48B4260B677D}" xr6:coauthVersionLast="47" xr6:coauthVersionMax="47" xr10:uidLastSave="{00000000-0000-0000-0000-000000000000}"/>
  <bookViews>
    <workbookView xWindow="-108" yWindow="-108" windowWidth="23256" windowHeight="12456" activeTab="6" xr2:uid="{76B02142-FBA8-466B-8C73-F3D453B7EF38}"/>
  </bookViews>
  <sheets>
    <sheet name="Q.1)" sheetId="1" r:id="rId1"/>
    <sheet name="Q.2)" sheetId="2" r:id="rId2"/>
    <sheet name="Q.3)" sheetId="3" r:id="rId3"/>
    <sheet name="Q.4)" sheetId="4" r:id="rId4"/>
    <sheet name="Q.5)" sheetId="5" r:id="rId5"/>
    <sheet name="Q.6)" sheetId="6" r:id="rId6"/>
    <sheet name="Q.7)" sheetId="7" r:id="rId7"/>
    <sheet name="Q.8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2" i="8"/>
  <c r="C4" i="8"/>
  <c r="C5" i="8"/>
  <c r="C3" i="7"/>
  <c r="C4" i="7"/>
  <c r="C5" i="7"/>
  <c r="C2" i="7"/>
  <c r="D3" i="6"/>
  <c r="D4" i="6"/>
  <c r="D2" i="6"/>
  <c r="C3" i="5"/>
  <c r="C4" i="5"/>
  <c r="C5" i="5"/>
  <c r="C2" i="5"/>
  <c r="D3" i="4"/>
  <c r="D4" i="4"/>
  <c r="D5" i="4"/>
  <c r="D2" i="4"/>
  <c r="C3" i="3" l="1"/>
  <c r="C4" i="3"/>
  <c r="C5" i="3"/>
  <c r="C6" i="3"/>
  <c r="C2" i="3"/>
  <c r="D3" i="2"/>
  <c r="D4" i="2"/>
  <c r="D5" i="2"/>
  <c r="D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<sst xmlns="http://schemas.openxmlformats.org/spreadsheetml/2006/main" count="77" uniqueCount="66">
  <si>
    <t>Student Name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</si>
  <si>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</si>
  <si>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</si>
  <si>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</si>
  <si>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</si>
  <si>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</si>
  <si>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</si>
  <si>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</si>
  <si>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</si>
  <si>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Sales</t>
  </si>
  <si>
    <t>Attendance</t>
  </si>
  <si>
    <t>Arjun</t>
  </si>
  <si>
    <t>Simran</t>
  </si>
  <si>
    <t>Rohit</t>
  </si>
  <si>
    <t>Anjali</t>
  </si>
  <si>
    <t>Bonus Or No Bonus</t>
  </si>
  <si>
    <t>Grade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</si>
  <si>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</si>
  <si>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</si>
  <si>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</si>
  <si>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</si>
  <si>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</si>
  <si>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</si>
  <si>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</si>
  <si>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</si>
  <si>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</si>
  <si>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</si>
  <si>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</si>
  <si>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</si>
  <si>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</si>
  <si>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</si>
  <si>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</si>
  <si>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</si>
  <si>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Finanace</t>
  </si>
  <si>
    <t>DEPARTMENT SHOWN BY VLOOKUP</t>
  </si>
  <si>
    <t>Sales Amount</t>
  </si>
  <si>
    <t>Commission Rate</t>
  </si>
  <si>
    <t>leaves taken</t>
  </si>
  <si>
    <t>leaves allowed</t>
  </si>
  <si>
    <t>empLOYEE name</t>
  </si>
  <si>
    <t>Alex</t>
  </si>
  <si>
    <t>Bob</t>
  </si>
  <si>
    <t>Anna</t>
  </si>
  <si>
    <t>EmpId</t>
  </si>
  <si>
    <t>Salary</t>
  </si>
  <si>
    <t>E105</t>
  </si>
  <si>
    <t>E106</t>
  </si>
  <si>
    <t>EMPID SALARY FINDING BY USING INDEX-MATCH</t>
  </si>
  <si>
    <t>EMPID</t>
  </si>
  <si>
    <t>DEPARTMENT</t>
  </si>
  <si>
    <t xml:space="preserve"> </t>
  </si>
  <si>
    <t>EMPID DEPARTMENT FINDING BY USING XLOOKUP</t>
  </si>
  <si>
    <t>E303</t>
  </si>
  <si>
    <t>E301</t>
  </si>
  <si>
    <t>SALES</t>
  </si>
  <si>
    <t>FINANCE</t>
  </si>
  <si>
    <t>ANSWER</t>
  </si>
  <si>
    <t>COMMISSION RATE USING VLOOKUP</t>
  </si>
  <si>
    <t/>
  </si>
  <si>
    <t>Q.1)Write a formula to check if the marks in cell are greater than or equal to 40. If yes, return "Pass" , otherwise "Fail".</t>
  </si>
  <si>
    <t>Q.2) A company gives a bonus  if sales are above 40,000 and attendance is greater than or equal to 90%. Write a formula to calculate whether the employee will get a bonus or not .</t>
  </si>
  <si>
    <t>Q.3) Write a nested IF formula:_x000B_ If marks in are ≥ 90 → , ≥ 75 → , ≥ 50 → , otherwise .</t>
  </si>
  <si>
    <t>Q.4) Find the Department of Employee ID = E103. Also explain which LOOKUP function is used and why?</t>
  </si>
  <si>
    <t xml:space="preserve">Q.5) A company has set the following commission structure for its sales team: If a salesperson achieves sales of ₹45,000, use the VLOOKUP function to determine the commission rate Applicable.
</t>
  </si>
  <si>
    <t>Q.7)Find the salary of EmpID = E105 using INDEX-MATCH Function.</t>
  </si>
  <si>
    <t>Q.8) 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</si>
</sst>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6"/>
      <color theme="1"/>
      <name val="Calibri"/>
      <family val="2"/>
      <scheme val="minor"/>
    </font>
    <font>
      <b/>
      <sz val="16"/>
      <color rgb="FF002060"/>
      <name val="Bahnschrift"/>
      <family val="2"/>
    </font>
    <font>
      <b/>
      <sz val="16"/>
      <color rgb="FF0070C0"/>
      <name val="Bahnschrift"/>
      <family val="2"/>
    </font>
    <font>
      <b/>
      <sz val="16"/>
      <color rgb="FF00206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1"/>
      <name val="Algerian"/>
      <family val="5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9" fontId="6" fillId="2" borderId="13" xfId="0" applyNumberFormat="1" applyFont="1" applyFill="1" applyBorder="1" applyAlignment="1">
      <alignment horizontal="center"/>
    </xf>
    <xf numFmtId="9" fontId="7" fillId="3" borderId="13" xfId="1" applyFont="1" applyFill="1" applyBorder="1" applyAlignment="1">
      <alignment horizontal="center"/>
    </xf>
    <xf numFmtId="9" fontId="6" fillId="2" borderId="14" xfId="0" applyNumberFormat="1" applyFont="1" applyFill="1" applyBorder="1" applyAlignment="1">
      <alignment horizontal="center"/>
    </xf>
    <xf numFmtId="9" fontId="7" fillId="3" borderId="14" xfId="1" applyFont="1" applyFill="1" applyBorder="1" applyAlignment="1">
      <alignment horizontal="center"/>
    </xf>
    <xf numFmtId="9" fontId="6" fillId="2" borderId="15" xfId="0" applyNumberFormat="1" applyFont="1" applyFill="1" applyBorder="1" applyAlignment="1">
      <alignment horizontal="center"/>
    </xf>
    <xf numFmtId="9" fontId="7" fillId="3" borderId="15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2" fillId="5" borderId="1" xfId="0" applyFont="1" applyFill="1" applyBorder="1"/>
    <xf numFmtId="0" fontId="3" fillId="0" borderId="0" xfId="0" applyFont="1"/>
    <xf numFmtId="0" fontId="4" fillId="2" borderId="3" xfId="0" applyFont="1" applyFill="1" applyBorder="1"/>
    <xf numFmtId="0" fontId="7" fillId="3" borderId="2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7" xfId="0" applyFont="1" applyFill="1" applyBorder="1"/>
    <xf numFmtId="0" fontId="7" fillId="4" borderId="8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4" fillId="2" borderId="5" xfId="0" applyFont="1" applyFill="1" applyBorder="1"/>
    <xf numFmtId="0" fontId="7" fillId="3" borderId="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10" fillId="0" borderId="0" xfId="0" applyFont="1"/>
    <xf numFmtId="0" fontId="2" fillId="5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5" borderId="21" xfId="0" applyFont="1" applyFill="1" applyBorder="1" applyAlignment="1">
      <alignment horizontal="center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8073-A5C4-41F8-AF8F-7586E6CB00D9}">
  <dimension ref="A1:E6"/>
  <sheetViews>
    <sheetView workbookViewId="0">
      <selection activeCell="D1" sqref="D1"/>
    </sheetView>
  </sheetViews>
  <sheetFormatPr defaultColWidth="23.33203125" defaultRowHeight="21" x14ac:dyDescent="0.4"/>
  <cols>
    <col min="1" max="3" width="23.33203125" style="2"/>
    <col min="4" max="4" width="127.5546875" style="2" customWidth="1"/>
    <col min="5" max="5" width="111.5546875" style="2" customWidth="1"/>
    <col min="6" max="16384" width="23.33203125" style="2"/>
  </cols>
  <sheetData>
    <row r="1" spans="1:5" ht="23.4" thickBot="1" x14ac:dyDescent="0.5">
      <c r="A1" s="1" t="s">
        <v>0</v>
      </c>
      <c r="B1" s="1" t="s">
        <v>1</v>
      </c>
      <c r="C1" s="49" t="s">
        <v>7</v>
      </c>
      <c r="D1" s="54" t="s">
        <v>59</v>
      </c>
      <c r="E1" s="48"/>
    </row>
    <row r="2" spans="1:5" ht="21.6" thickBot="1" x14ac:dyDescent="0.45">
      <c r="A2" s="3" t="s">
        <v>2</v>
      </c>
      <c r="B2" s="3">
        <v>45</v>
      </c>
      <c r="C2" s="4" t="str">
        <f>IF(B2&gt;=40, "Pass", "Fail")</f>
        <v>Pass</v>
      </c>
      <c r="E2" s="47" t="s">
        <v>58</v>
      </c>
    </row>
    <row r="3" spans="1:5" ht="21.6" thickBot="1" x14ac:dyDescent="0.45">
      <c r="A3" s="5" t="s">
        <v>3</v>
      </c>
      <c r="B3" s="5">
        <v>72</v>
      </c>
      <c r="C3" s="4" t="str">
        <f t="shared" ref="C3:C6" si="0">IF(B3&gt;=40, "Pass", "Fail")</f>
        <v>Pass</v>
      </c>
    </row>
    <row r="4" spans="1:5" ht="21.6" thickBot="1" x14ac:dyDescent="0.45">
      <c r="A4" s="5" t="s">
        <v>4</v>
      </c>
      <c r="B4" s="5">
        <v>55</v>
      </c>
      <c r="C4" s="4" t="str">
        <f t="shared" si="0"/>
        <v>Pass</v>
      </c>
    </row>
    <row r="5" spans="1:5" ht="21.6" thickBot="1" x14ac:dyDescent="0.45">
      <c r="A5" s="5" t="s">
        <v>5</v>
      </c>
      <c r="B5" s="5">
        <v>80</v>
      </c>
      <c r="C5" s="4" t="str">
        <f t="shared" si="0"/>
        <v>Pass</v>
      </c>
    </row>
    <row r="6" spans="1:5" ht="21.6" thickBot="1" x14ac:dyDescent="0.45">
      <c r="A6" s="6" t="s">
        <v>6</v>
      </c>
      <c r="B6" s="6">
        <v>30</v>
      </c>
      <c r="C6" s="7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BB5D-D838-4C89-8A9F-49FF35FDA4AA}">
  <dimension ref="A1:E5"/>
  <sheetViews>
    <sheetView topLeftCell="E1" workbookViewId="0">
      <selection activeCell="E1" sqref="E1"/>
    </sheetView>
  </sheetViews>
  <sheetFormatPr defaultRowHeight="21" x14ac:dyDescent="0.4"/>
  <cols>
    <col min="1" max="1" width="18.109375" style="2" customWidth="1"/>
    <col min="2" max="2" width="13.109375" style="2" customWidth="1"/>
    <col min="3" max="3" width="22.88671875" style="2" customWidth="1"/>
    <col min="4" max="4" width="32.77734375" style="2" customWidth="1"/>
    <col min="5" max="5" width="191.109375" style="2" customWidth="1"/>
    <col min="6" max="16384" width="8.88671875" style="2"/>
  </cols>
  <sheetData>
    <row r="1" spans="1:5" ht="23.4" thickBot="1" x14ac:dyDescent="0.5">
      <c r="A1" s="8" t="s">
        <v>8</v>
      </c>
      <c r="B1" s="8" t="s">
        <v>9</v>
      </c>
      <c r="C1" s="8" t="s">
        <v>10</v>
      </c>
      <c r="D1" s="8" t="s">
        <v>15</v>
      </c>
      <c r="E1" s="53" t="s">
        <v>60</v>
      </c>
    </row>
    <row r="2" spans="1:5" x14ac:dyDescent="0.4">
      <c r="A2" s="3" t="s">
        <v>11</v>
      </c>
      <c r="B2" s="3">
        <v>55000</v>
      </c>
      <c r="C2" s="3">
        <v>95</v>
      </c>
      <c r="D2" s="4" t="str">
        <f>IF(AND(B2&gt;40000, C2&gt;=90), "Bonus", "No Bonus")</f>
        <v>Bonus</v>
      </c>
    </row>
    <row r="3" spans="1:5" x14ac:dyDescent="0.4">
      <c r="A3" s="5" t="s">
        <v>12</v>
      </c>
      <c r="B3" s="5">
        <v>65000</v>
      </c>
      <c r="C3" s="5">
        <v>85</v>
      </c>
      <c r="D3" s="9" t="str">
        <f t="shared" ref="D3:D5" si="0">IF(AND(B3&gt;40000, C3&gt;=90), "Bonus", "No Bonus")</f>
        <v>No Bonus</v>
      </c>
    </row>
    <row r="4" spans="1:5" x14ac:dyDescent="0.4">
      <c r="A4" s="5" t="s">
        <v>13</v>
      </c>
      <c r="B4" s="5">
        <v>30000</v>
      </c>
      <c r="C4" s="5">
        <v>90</v>
      </c>
      <c r="D4" s="9" t="str">
        <f t="shared" si="0"/>
        <v>No Bonus</v>
      </c>
    </row>
    <row r="5" spans="1:5" ht="21.6" thickBot="1" x14ac:dyDescent="0.45">
      <c r="A5" s="6" t="s">
        <v>14</v>
      </c>
      <c r="B5" s="6">
        <v>25000</v>
      </c>
      <c r="C5" s="6">
        <v>65</v>
      </c>
      <c r="D5" s="10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51C1-B2FB-4B36-AC24-9DC84D835FB0}">
  <dimension ref="A1:D6"/>
  <sheetViews>
    <sheetView workbookViewId="0">
      <selection activeCell="D1" sqref="D1"/>
    </sheetView>
  </sheetViews>
  <sheetFormatPr defaultRowHeight="37.200000000000003" customHeight="1" x14ac:dyDescent="0.4"/>
  <cols>
    <col min="1" max="1" width="22.88671875" style="2" bestFit="1" customWidth="1"/>
    <col min="2" max="2" width="11.21875" style="2" bestFit="1" customWidth="1"/>
    <col min="3" max="3" width="11" style="2" bestFit="1" customWidth="1"/>
    <col min="4" max="4" width="90.33203125" style="2" customWidth="1"/>
    <col min="5" max="16384" width="8.88671875" style="2"/>
  </cols>
  <sheetData>
    <row r="1" spans="1:4" ht="25.2" customHeight="1" thickBot="1" x14ac:dyDescent="0.5">
      <c r="A1" s="8" t="s">
        <v>0</v>
      </c>
      <c r="B1" s="8" t="s">
        <v>1</v>
      </c>
      <c r="C1" s="50" t="s">
        <v>16</v>
      </c>
      <c r="D1" s="53" t="s">
        <v>61</v>
      </c>
    </row>
    <row r="2" spans="1:4" ht="24" customHeight="1" x14ac:dyDescent="0.4">
      <c r="A2" s="3" t="s">
        <v>17</v>
      </c>
      <c r="B2" s="3">
        <v>85</v>
      </c>
      <c r="C2" s="4" t="str">
        <f>IF(B2&gt;=90, "A", IF(B2&gt;=75, "B", IF(B2&gt;=50, "C",  "Fail")))</f>
        <v>B</v>
      </c>
    </row>
    <row r="3" spans="1:4" ht="23.4" customHeight="1" x14ac:dyDescent="0.4">
      <c r="A3" s="5" t="s">
        <v>18</v>
      </c>
      <c r="B3" s="5">
        <v>96</v>
      </c>
      <c r="C3" s="9" t="str">
        <f t="shared" ref="C3:C6" si="0">IF(B3&gt;=90, "A", IF(B3&gt;=75, "B", IF(B3&gt;=50, "C",  "Fail")))</f>
        <v>A</v>
      </c>
    </row>
    <row r="4" spans="1:4" ht="22.2" customHeight="1" x14ac:dyDescent="0.4">
      <c r="A4" s="5" t="s">
        <v>19</v>
      </c>
      <c r="B4" s="5">
        <v>57</v>
      </c>
      <c r="C4" s="9" t="str">
        <f t="shared" si="0"/>
        <v>C</v>
      </c>
    </row>
    <row r="5" spans="1:4" ht="24.6" customHeight="1" x14ac:dyDescent="0.4">
      <c r="A5" s="5" t="s">
        <v>20</v>
      </c>
      <c r="B5" s="5">
        <v>92</v>
      </c>
      <c r="C5" s="9" t="str">
        <f t="shared" si="0"/>
        <v>A</v>
      </c>
    </row>
    <row r="6" spans="1:4" ht="23.4" customHeight="1" thickBot="1" x14ac:dyDescent="0.45">
      <c r="A6" s="6" t="s">
        <v>21</v>
      </c>
      <c r="B6" s="6">
        <v>75</v>
      </c>
      <c r="C6" s="10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2B44-53D4-4AB3-B413-64A20C932638}">
  <dimension ref="A1:E5"/>
  <sheetViews>
    <sheetView workbookViewId="0">
      <selection activeCell="E1" sqref="E1"/>
    </sheetView>
  </sheetViews>
  <sheetFormatPr defaultRowHeight="21" x14ac:dyDescent="0.4"/>
  <cols>
    <col min="1" max="1" width="12.5546875" style="25" customWidth="1"/>
    <col min="2" max="2" width="11.88671875" style="25" customWidth="1"/>
    <col min="3" max="3" width="24.5546875" style="25" customWidth="1"/>
    <col min="4" max="4" width="61.109375" style="25" customWidth="1"/>
    <col min="5" max="5" width="96.5546875" style="25" customWidth="1"/>
    <col min="6" max="6" width="14.88671875" style="25" customWidth="1"/>
    <col min="7" max="16384" width="8.88671875" style="25"/>
  </cols>
  <sheetData>
    <row r="1" spans="1:5" ht="23.4" thickBot="1" x14ac:dyDescent="0.5">
      <c r="A1" s="24" t="s">
        <v>22</v>
      </c>
      <c r="B1" s="24" t="s">
        <v>23</v>
      </c>
      <c r="C1" s="24" t="s">
        <v>24</v>
      </c>
      <c r="D1" s="24" t="s">
        <v>34</v>
      </c>
      <c r="E1" s="53" t="s">
        <v>62</v>
      </c>
    </row>
    <row r="2" spans="1:5" x14ac:dyDescent="0.4">
      <c r="A2" s="3" t="s">
        <v>25</v>
      </c>
      <c r="B2" s="3" t="s">
        <v>4</v>
      </c>
      <c r="C2" s="3" t="s">
        <v>31</v>
      </c>
      <c r="D2" s="26" t="str">
        <f>VLOOKUP(A2,$A$2:$C$5,3,FALSE)</f>
        <v>IT</v>
      </c>
    </row>
    <row r="3" spans="1:5" ht="21.6" thickBot="1" x14ac:dyDescent="0.45">
      <c r="A3" s="5" t="s">
        <v>26</v>
      </c>
      <c r="B3" s="5" t="s">
        <v>2</v>
      </c>
      <c r="C3" s="5" t="s">
        <v>32</v>
      </c>
      <c r="D3" s="27" t="str">
        <f t="shared" ref="D3:D5" si="0">VLOOKUP(A3,$A$2:$C$5,3,FALSE)</f>
        <v>HR</v>
      </c>
    </row>
    <row r="4" spans="1:5" ht="22.2" thickTop="1" thickBot="1" x14ac:dyDescent="0.45">
      <c r="A4" s="5" t="s">
        <v>27</v>
      </c>
      <c r="B4" s="5" t="s">
        <v>29</v>
      </c>
      <c r="C4" s="28" t="s">
        <v>33</v>
      </c>
      <c r="D4" s="29" t="str">
        <f t="shared" si="0"/>
        <v>Finanace</v>
      </c>
    </row>
    <row r="5" spans="1:5" ht="22.2" thickTop="1" thickBot="1" x14ac:dyDescent="0.45">
      <c r="A5" s="6" t="s">
        <v>28</v>
      </c>
      <c r="B5" s="6" t="s">
        <v>30</v>
      </c>
      <c r="C5" s="6" t="s">
        <v>9</v>
      </c>
      <c r="D5" s="30" t="str">
        <f t="shared" si="0"/>
        <v>Sales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7ACD-F4F9-4751-8BBC-30A9D552082C}">
  <dimension ref="A1:D5"/>
  <sheetViews>
    <sheetView topLeftCell="D1" workbookViewId="0">
      <selection activeCell="D1" sqref="D1"/>
    </sheetView>
  </sheetViews>
  <sheetFormatPr defaultRowHeight="21" x14ac:dyDescent="0.4"/>
  <cols>
    <col min="1" max="1" width="25.6640625" style="2" customWidth="1"/>
    <col min="2" max="2" width="29.88671875" style="2" customWidth="1"/>
    <col min="3" max="3" width="55.109375" style="2" customWidth="1"/>
    <col min="4" max="4" width="206.6640625" style="2" customWidth="1"/>
    <col min="5" max="16384" width="8.88671875" style="2"/>
  </cols>
  <sheetData>
    <row r="1" spans="1:4" ht="38.4" customHeight="1" thickBot="1" x14ac:dyDescent="0.5">
      <c r="A1" s="11" t="s">
        <v>35</v>
      </c>
      <c r="B1" s="11" t="s">
        <v>36</v>
      </c>
      <c r="C1" s="52" t="s">
        <v>57</v>
      </c>
      <c r="D1" s="55" t="s">
        <v>63</v>
      </c>
    </row>
    <row r="2" spans="1:4" x14ac:dyDescent="0.4">
      <c r="A2" s="12">
        <v>0</v>
      </c>
      <c r="B2" s="18">
        <v>0.05</v>
      </c>
      <c r="C2" s="19">
        <f>VLOOKUP(45000, $A$2:$B$5, 2, TRUE)</f>
        <v>0.1</v>
      </c>
    </row>
    <row r="3" spans="1:4" x14ac:dyDescent="0.4">
      <c r="A3" s="13">
        <v>20000</v>
      </c>
      <c r="B3" s="20">
        <v>0.1</v>
      </c>
      <c r="C3" s="21">
        <f t="shared" ref="C3:C5" si="0">VLOOKUP(45000, $A$2:$B$5, 2, TRUE)</f>
        <v>0.1</v>
      </c>
    </row>
    <row r="4" spans="1:4" x14ac:dyDescent="0.4">
      <c r="A4" s="13">
        <v>50000</v>
      </c>
      <c r="B4" s="20">
        <v>0.15</v>
      </c>
      <c r="C4" s="21">
        <f t="shared" si="0"/>
        <v>0.1</v>
      </c>
    </row>
    <row r="5" spans="1:4" ht="21.6" thickBot="1" x14ac:dyDescent="0.45">
      <c r="A5" s="14">
        <v>80000</v>
      </c>
      <c r="B5" s="22">
        <v>0.2</v>
      </c>
      <c r="C5" s="23">
        <f t="shared" si="0"/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B3C9-267E-4A7F-918D-11998654D71B}">
  <dimension ref="A1:E4"/>
  <sheetViews>
    <sheetView workbookViewId="0">
      <selection activeCell="B14" sqref="B14"/>
    </sheetView>
  </sheetViews>
  <sheetFormatPr defaultColWidth="19.33203125" defaultRowHeight="21" x14ac:dyDescent="0.4"/>
  <cols>
    <col min="1" max="1" width="28.88671875" style="2" customWidth="1"/>
    <col min="2" max="2" width="26.33203125" style="2" customWidth="1"/>
    <col min="3" max="3" width="30.109375" style="2" customWidth="1"/>
    <col min="4" max="4" width="19.33203125" style="2"/>
    <col min="5" max="5" width="200.44140625" style="2" customWidth="1"/>
    <col min="6" max="16384" width="19.33203125" style="2"/>
  </cols>
  <sheetData>
    <row r="1" spans="1:5" ht="23.4" thickBot="1" x14ac:dyDescent="0.5">
      <c r="A1" s="11" t="s">
        <v>39</v>
      </c>
      <c r="B1" s="11" t="s">
        <v>37</v>
      </c>
      <c r="C1" s="11" t="s">
        <v>38</v>
      </c>
      <c r="D1" s="11" t="s">
        <v>56</v>
      </c>
    </row>
    <row r="2" spans="1:5" x14ac:dyDescent="0.4">
      <c r="A2" s="12" t="s">
        <v>40</v>
      </c>
      <c r="B2" s="12">
        <v>10</v>
      </c>
      <c r="C2" s="12">
        <v>12</v>
      </c>
      <c r="D2" s="15" t="str">
        <f>IF(B2&gt;C2, "Exceeded", "Ok")</f>
        <v>Ok</v>
      </c>
    </row>
    <row r="3" spans="1:5" x14ac:dyDescent="0.4">
      <c r="A3" s="13" t="s">
        <v>41</v>
      </c>
      <c r="B3" s="13">
        <v>10</v>
      </c>
      <c r="C3" s="13">
        <v>15</v>
      </c>
      <c r="D3" s="16" t="str">
        <f t="shared" ref="D3:D4" si="0">IF(B3&gt;C3, "Exceeded", "Ok")</f>
        <v>Ok</v>
      </c>
    </row>
    <row r="4" spans="1:5" ht="21.6" thickBot="1" x14ac:dyDescent="0.45">
      <c r="A4" s="14" t="s">
        <v>42</v>
      </c>
      <c r="B4" s="14">
        <v>8</v>
      </c>
      <c r="C4" s="14">
        <v>12</v>
      </c>
      <c r="D4" s="17" t="str">
        <f t="shared" si="0"/>
        <v>Ok</v>
      </c>
      <c r="E4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CEEE-FCEA-46C8-BFB8-8F382922C112}">
  <dimension ref="A1:D5"/>
  <sheetViews>
    <sheetView tabSelected="1" workbookViewId="0">
      <selection activeCell="D12" sqref="D12"/>
    </sheetView>
  </sheetViews>
  <sheetFormatPr defaultRowHeight="21" x14ac:dyDescent="0.4"/>
  <cols>
    <col min="1" max="1" width="13.77734375" style="32" customWidth="1"/>
    <col min="2" max="2" width="16" style="32" customWidth="1"/>
    <col min="3" max="3" width="77" style="32" customWidth="1"/>
    <col min="4" max="4" width="72.6640625" style="32" customWidth="1"/>
    <col min="5" max="16384" width="8.88671875" style="32"/>
  </cols>
  <sheetData>
    <row r="1" spans="1:4" ht="23.4" thickBot="1" x14ac:dyDescent="0.5">
      <c r="A1" s="31" t="s">
        <v>43</v>
      </c>
      <c r="B1" s="31" t="s">
        <v>44</v>
      </c>
      <c r="C1" s="8" t="s">
        <v>47</v>
      </c>
      <c r="D1" s="53" t="s">
        <v>64</v>
      </c>
    </row>
    <row r="2" spans="1:4" ht="21.6" thickBot="1" x14ac:dyDescent="0.45">
      <c r="A2" s="33" t="s">
        <v>28</v>
      </c>
      <c r="B2" s="33">
        <v>55000</v>
      </c>
      <c r="C2" s="34">
        <f>INDEX($B$2:$B$5, MATCH(A2, $A$2:$A$5,0))</f>
        <v>55000</v>
      </c>
    </row>
    <row r="3" spans="1:4" ht="22.2" thickTop="1" thickBot="1" x14ac:dyDescent="0.45">
      <c r="A3" s="35" t="s">
        <v>45</v>
      </c>
      <c r="B3" s="36">
        <v>72000</v>
      </c>
      <c r="C3" s="37">
        <f>INDEX($B$2:$B$5, MATCH(A3, $A$2:$A$5,0))</f>
        <v>72000</v>
      </c>
    </row>
    <row r="4" spans="1:4" ht="21.6" thickTop="1" x14ac:dyDescent="0.4">
      <c r="A4" s="35" t="s">
        <v>46</v>
      </c>
      <c r="B4" s="35">
        <v>62000</v>
      </c>
      <c r="C4" s="38">
        <f>INDEX($B$2:$B$5, MATCH(A4, $A$2:$A$5,0))</f>
        <v>62000</v>
      </c>
    </row>
    <row r="5" spans="1:4" ht="21.6" thickBot="1" x14ac:dyDescent="0.45">
      <c r="A5" s="39" t="s">
        <v>26</v>
      </c>
      <c r="B5" s="39">
        <v>41000</v>
      </c>
      <c r="C5" s="40">
        <f t="shared" ref="C5" si="0">INDEX($B$2:$B$5, MATCH(A5, $A$2:$A$5,0))</f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71FB-B058-4FCF-8FB4-05054306ACCB}">
  <dimension ref="A1:F5"/>
  <sheetViews>
    <sheetView topLeftCell="B1" workbookViewId="0">
      <selection activeCell="D1" sqref="D1"/>
    </sheetView>
  </sheetViews>
  <sheetFormatPr defaultRowHeight="21" x14ac:dyDescent="0.4"/>
  <cols>
    <col min="1" max="1" width="11.21875" style="2" customWidth="1"/>
    <col min="2" max="2" width="22.33203125" style="2" customWidth="1"/>
    <col min="3" max="3" width="77.109375" style="2" customWidth="1"/>
    <col min="4" max="4" width="97.109375" style="2" customWidth="1"/>
    <col min="5" max="16384" width="8.88671875" style="2"/>
  </cols>
  <sheetData>
    <row r="1" spans="1:6" ht="23.4" thickBot="1" x14ac:dyDescent="0.5">
      <c r="A1" s="11" t="s">
        <v>48</v>
      </c>
      <c r="B1" s="11" t="s">
        <v>49</v>
      </c>
      <c r="C1" s="52" t="s">
        <v>51</v>
      </c>
      <c r="D1" s="53" t="s">
        <v>65</v>
      </c>
      <c r="F1" s="2" t="s">
        <v>50</v>
      </c>
    </row>
    <row r="2" spans="1:6" ht="21.6" thickBot="1" x14ac:dyDescent="0.45">
      <c r="A2" s="41" t="s">
        <v>25</v>
      </c>
      <c r="B2" s="41" t="s">
        <v>32</v>
      </c>
      <c r="C2" s="42" t="str">
        <f>_xlfn.XLOOKUP(A2,$A$2:$A$5,$B$2:$B$5)</f>
        <v>HR</v>
      </c>
    </row>
    <row r="3" spans="1:6" ht="22.2" thickTop="1" thickBot="1" x14ac:dyDescent="0.45">
      <c r="A3" s="43" t="s">
        <v>52</v>
      </c>
      <c r="B3" s="44" t="s">
        <v>31</v>
      </c>
      <c r="C3" s="29" t="str">
        <f>_xlfn.XLOOKUP(A3,$A$2:$A$5,$B$2:$B$5)</f>
        <v>IT</v>
      </c>
    </row>
    <row r="4" spans="1:6" ht="21.6" thickTop="1" x14ac:dyDescent="0.4">
      <c r="A4" s="43" t="s">
        <v>46</v>
      </c>
      <c r="B4" s="43" t="s">
        <v>54</v>
      </c>
      <c r="C4" s="45" t="str">
        <f t="shared" ref="C4:C5" si="0">_xlfn.XLOOKUP(A4,$A$2:$A$5,$B$2:$B$5)</f>
        <v>SALES</v>
      </c>
    </row>
    <row r="5" spans="1:6" ht="21.6" thickBot="1" x14ac:dyDescent="0.45">
      <c r="A5" s="46" t="s">
        <v>53</v>
      </c>
      <c r="B5" s="46" t="s">
        <v>55</v>
      </c>
      <c r="C5" s="17" t="str">
        <f t="shared" si="0"/>
        <v>FINANCE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Q.1)</vt:lpstr>
      <vt:lpstr>Q.2)</vt:lpstr>
      <vt:lpstr>Q.3)</vt:lpstr>
      <vt:lpstr>Q.4)</vt:lpstr>
      <vt:lpstr>Q.5)</vt:lpstr>
      <vt:lpstr>Q.6)</vt:lpstr>
      <vt:lpstr>Q.7)</vt:lpstr>
      <vt:lpstr>Q.8)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GHOSH</dc:creator>
  <cp:lastModifiedBy>SHREYA GHOSH</cp:lastModifiedBy>
  <dcterms:created xsi:type="dcterms:W3CDTF">2026-01-14T12:10:30Z</dcterms:created>
  <dcterms:modified xsi:type="dcterms:W3CDTF">2026-01-17T17:37:11Z</dcterms:modified>
</cp:coreProperties>
</file>